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rates (GP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Measured Flowrate vs. Target Flowrate</a:t>
            </a:r>
          </a:p>
        </rich>
      </tx>
    </title>
    <plotArea>
      <scatterChart>
        <ser>
          <idx val="0"/>
          <order val="0"/>
          <tx>
            <v>Rotameter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'Flowrates (GPM)'!$D$2:$D$7</f>
              </numRef>
            </minus>
            <plus>
              <numRef>
                <f>'Flowrates (GPM)'!$D$2:$D$7</f>
              </numRef>
            </plus>
          </errBars>
          <xVal>
            <numRef>
              <f>'Flowrates (GPM)'!$B$2:$B$7</f>
            </numRef>
          </xVal>
          <yVal>
            <numRef>
              <f>'Flowrates (GPM)'!$C$2:$C$7</f>
            </numRef>
          </yVal>
        </ser>
        <ser>
          <idx val="1"/>
          <order val="1"/>
          <tx>
            <v>Turbine Flowmeter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'Flowrates (GPM)'!$F$2:$F$7</f>
              </numRef>
            </minus>
            <plus>
              <numRef>
                <f>'Flowrates (GPM)'!$F$2:$F$7</f>
              </numRef>
            </plus>
          </errBars>
          <xVal>
            <numRef>
              <f>'Flowrates (GPM)'!$B$2:$B$7</f>
            </numRef>
          </xVal>
          <yVal>
            <numRef>
              <f>'Flowrates (GPM)'!$E$2:$E$7</f>
            </numRef>
          </yVal>
        </ser>
        <ser>
          <idx val="2"/>
          <order val="2"/>
          <tx>
            <v>Venturi Flowmeter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'Flowrates (GPM)'!$H$2:$H$7</f>
              </numRef>
            </minus>
            <plus>
              <numRef>
                <f>'Flowrates (GPM)'!$H$2:$H$7</f>
              </numRef>
            </plus>
          </errBars>
          <xVal>
            <numRef>
              <f>'Flowrates (GPM)'!$B$2:$B$7</f>
            </numRef>
          </xVal>
          <yVal>
            <numRef>
              <f>'Flowrates (GPM)'!$G$2:$G$7</f>
            </numRef>
          </yVal>
        </ser>
        <ser>
          <idx val="3"/>
          <order val="3"/>
          <tx>
            <v>Orifice Flowmeter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'Flowrates (GPM)'!$J$2:$J$7</f>
              </numRef>
            </minus>
            <plus>
              <numRef>
                <f>'Flowrates (GPM)'!$J$2:$J$7</f>
              </numRef>
            </plus>
          </errBars>
          <xVal>
            <numRef>
              <f>'Flowrates (GPM)'!$B$2:$B$7</f>
            </numRef>
          </xVal>
          <yVal>
            <numRef>
              <f>'Flowrates (GPM)'!$I$2:$I$7</f>
            </numRef>
          </yVal>
        </ser>
        <ser>
          <idx val="4"/>
          <order val="4"/>
          <tx>
            <v>Hall Effect Flowmeter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'Flowrates (GPM)'!$L$2:$L$7</f>
              </numRef>
            </minus>
            <plus>
              <numRef>
                <f>'Flowrates (GPM)'!$L$2:$L$7</f>
              </numRef>
            </plus>
          </errBars>
          <xVal>
            <numRef>
              <f>'Flowrates (GPM)'!$B$2:$B$7</f>
            </numRef>
          </xVal>
          <yVal>
            <numRef>
              <f>'Flowrates (GPM)'!$K$2:$K$7</f>
            </numRef>
          </yVal>
        </ser>
        <ser>
          <idx val="5"/>
          <order val="5"/>
          <tx>
            <v>Timed Capture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'Flowrates (GPM)'!$N$2:$N$7</f>
              </numRef>
            </minus>
            <plus>
              <numRef>
                <f>'Flowrates (GPM)'!$N$2:$N$7</f>
              </numRef>
            </plus>
          </errBars>
          <xVal>
            <numRef>
              <f>'Flowrates (GPM)'!$B$2:$B$7</f>
            </numRef>
          </xVal>
          <yVal>
            <numRef>
              <f>'Flowrates (GPM)'!$M$2:$M$7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Target Flowrate, Q_target (GPM)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Flowrate (GPM)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Q_target</t>
        </is>
      </c>
      <c r="C1" t="inlineStr">
        <is>
          <t>Rotameter</t>
        </is>
      </c>
      <c r="D1" t="inlineStr">
        <is>
          <t>U Rotameter</t>
        </is>
      </c>
      <c r="E1" t="inlineStr">
        <is>
          <t>Turbine Flowmeter</t>
        </is>
      </c>
      <c r="F1" t="inlineStr">
        <is>
          <t>U Turbine Flowmeter</t>
        </is>
      </c>
      <c r="G1" t="inlineStr">
        <is>
          <t>Venturi Flowmeter</t>
        </is>
      </c>
      <c r="H1" t="inlineStr">
        <is>
          <t>U Venturi Flowmeter</t>
        </is>
      </c>
      <c r="I1" t="inlineStr">
        <is>
          <t>Orifice Flowmeter</t>
        </is>
      </c>
      <c r="J1" t="inlineStr">
        <is>
          <t>U Orifice Flowmeter</t>
        </is>
      </c>
      <c r="K1" t="inlineStr">
        <is>
          <t>Hall Effect Flowmeter</t>
        </is>
      </c>
      <c r="L1" t="inlineStr">
        <is>
          <t>U Hall Effect Flowmeter</t>
        </is>
      </c>
      <c r="M1" t="inlineStr">
        <is>
          <t>Timed Capture</t>
        </is>
      </c>
      <c r="N1" t="inlineStr">
        <is>
          <t>U Timed Capture</t>
        </is>
      </c>
    </row>
    <row r="2">
      <c r="A2" t="inlineStr">
        <is>
          <t>100%</t>
        </is>
      </c>
      <c r="B2" t="n">
        <v>7.25</v>
      </c>
      <c r="C2" t="n">
        <v>7.25</v>
      </c>
      <c r="D2" t="n">
        <v>0.5</v>
      </c>
      <c r="E2" t="n">
        <v>8.17</v>
      </c>
      <c r="F2" t="n">
        <v>0.01</v>
      </c>
      <c r="G2" t="n">
        <v>8.555400000000001</v>
      </c>
      <c r="H2" t="n">
        <v>0.1492</v>
      </c>
      <c r="I2" t="n">
        <v>7.5629</v>
      </c>
      <c r="J2" t="n">
        <v>0.178</v>
      </c>
      <c r="K2" t="n">
        <v>10.065</v>
      </c>
      <c r="L2" t="n">
        <v>0.0264</v>
      </c>
      <c r="M2" t="n">
        <v>7.2789</v>
      </c>
      <c r="N2" t="n">
        <v>0.103</v>
      </c>
    </row>
    <row r="3">
      <c r="A3" t="inlineStr">
        <is>
          <t>80%</t>
        </is>
      </c>
      <c r="B3" t="n">
        <v>5.8</v>
      </c>
      <c r="C3" t="n">
        <v>5.81</v>
      </c>
      <c r="D3" t="n">
        <v>0.5</v>
      </c>
      <c r="E3" t="n">
        <v>6.66</v>
      </c>
      <c r="F3" t="n">
        <v>0.01</v>
      </c>
      <c r="G3" t="n">
        <v>6.9132</v>
      </c>
      <c r="H3" t="n">
        <v>0.1751</v>
      </c>
      <c r="I3" t="n">
        <v>5.5813</v>
      </c>
      <c r="J3" t="n">
        <v>0.2339</v>
      </c>
      <c r="K3" t="n">
        <v>8.1206</v>
      </c>
      <c r="L3" t="n">
        <v>0.0264</v>
      </c>
      <c r="M3" t="n">
        <v>5.9827</v>
      </c>
      <c r="N3" t="n">
        <v>0.0852</v>
      </c>
    </row>
    <row r="4">
      <c r="A4" t="inlineStr">
        <is>
          <t>70%</t>
        </is>
      </c>
      <c r="B4" t="n">
        <v>5.075</v>
      </c>
      <c r="C4" t="n">
        <v>5</v>
      </c>
      <c r="D4" t="n">
        <v>0.5</v>
      </c>
      <c r="E4" t="n">
        <v>5.88</v>
      </c>
      <c r="F4" t="n">
        <v>0.01</v>
      </c>
      <c r="G4" t="n">
        <v>4.9972</v>
      </c>
      <c r="H4" t="n">
        <v>0.2348</v>
      </c>
      <c r="I4" t="n">
        <v>4.988</v>
      </c>
      <c r="J4" t="n">
        <v>0.2607</v>
      </c>
      <c r="K4" t="n">
        <v>7.0375</v>
      </c>
      <c r="L4" t="n">
        <v>0.0264</v>
      </c>
      <c r="M4" t="n">
        <v>5.3811</v>
      </c>
      <c r="N4" t="n">
        <v>0.0764</v>
      </c>
    </row>
    <row r="5">
      <c r="A5" t="inlineStr">
        <is>
          <t>60%</t>
        </is>
      </c>
      <c r="B5" t="n">
        <v>4.35</v>
      </c>
      <c r="C5" t="n">
        <v>4.3</v>
      </c>
      <c r="D5" t="n">
        <v>0.5</v>
      </c>
      <c r="E5" t="n">
        <v>5.13</v>
      </c>
      <c r="F5" t="n">
        <v>0.01</v>
      </c>
      <c r="G5" t="n">
        <v>5.1667</v>
      </c>
      <c r="H5" t="n">
        <v>0.2275</v>
      </c>
      <c r="I5" t="n">
        <v>4.1891</v>
      </c>
      <c r="J5" t="n">
        <v>0.3096</v>
      </c>
      <c r="K5" t="n">
        <v>6.1077</v>
      </c>
      <c r="L5" t="n">
        <v>0.0264</v>
      </c>
      <c r="M5" t="n">
        <v>4.6628</v>
      </c>
      <c r="N5" t="n">
        <v>0.06619999999999999</v>
      </c>
    </row>
    <row r="6">
      <c r="A6" t="inlineStr">
        <is>
          <t>50%</t>
        </is>
      </c>
      <c r="B6" t="n">
        <v>3.625</v>
      </c>
      <c r="C6" t="n">
        <v>3.5</v>
      </c>
      <c r="D6" t="n">
        <v>0.5</v>
      </c>
      <c r="E6" t="n">
        <v>4.27</v>
      </c>
      <c r="F6" t="n">
        <v>0.01</v>
      </c>
      <c r="G6" t="n">
        <v>2.6247</v>
      </c>
      <c r="H6" t="n">
        <v>0.4421</v>
      </c>
      <c r="I6" t="n">
        <v>3.1058</v>
      </c>
      <c r="J6" t="n">
        <v>0.4187</v>
      </c>
      <c r="K6" t="n">
        <v>4.9295</v>
      </c>
      <c r="L6" t="n">
        <v>0.0264</v>
      </c>
      <c r="M6" t="n">
        <v>3.3406</v>
      </c>
      <c r="N6" t="n">
        <v>0.0475</v>
      </c>
    </row>
    <row r="7">
      <c r="A7" t="inlineStr">
        <is>
          <t>40%</t>
        </is>
      </c>
      <c r="B7" t="n">
        <v>2.9</v>
      </c>
      <c r="C7" t="n">
        <v>2.8</v>
      </c>
      <c r="D7" t="n">
        <v>0.5</v>
      </c>
      <c r="E7" t="n">
        <v>3.47</v>
      </c>
      <c r="F7" t="n">
        <v>0.01</v>
      </c>
      <c r="G7" t="n">
        <v>1.9903</v>
      </c>
      <c r="H7" t="n">
        <v>0.5827</v>
      </c>
      <c r="I7" t="n">
        <v>1.5819</v>
      </c>
      <c r="J7" t="n">
        <v>0.8192</v>
      </c>
      <c r="K7" t="n">
        <v>4.2373</v>
      </c>
      <c r="L7" t="n">
        <v>0.0264</v>
      </c>
      <c r="M7" t="n">
        <v>3.7622</v>
      </c>
      <c r="N7" t="n">
        <v>0.0534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2026-09-25T01:51:28Z</dcterms:created>
  <dcterms:modified xsi:type="dcterms:W3CDTF">2026-09-25T01:51:28Z</dcterms:modified>
</cp:coreProperties>
</file>